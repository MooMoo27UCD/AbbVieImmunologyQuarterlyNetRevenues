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ohart/Desktop/UC Davis MBA/Spring 26/MGT 490B Biz Forecasting/Final Project/AbbVie/"/>
    </mc:Choice>
  </mc:AlternateContent>
  <xr:revisionPtr revIDLastSave="0" documentId="8_{2E64C11D-AA65-2345-A4FA-A75370C2E8D6}" xr6:coauthVersionLast="45" xr6:coauthVersionMax="45" xr10:uidLastSave="{00000000-0000-0000-0000-000000000000}"/>
  <bookViews>
    <workbookView xWindow="0" yWindow="660" windowWidth="34560" windowHeight="21680" xr2:uid="{EA15F958-FA51-144F-BDAC-A562B914B092}"/>
  </bookViews>
  <sheets>
    <sheet name="QtrlyNetRevenues" sheetId="1" r:id="rId1"/>
    <sheet name="Humira" sheetId="2" r:id="rId2"/>
    <sheet name="Skyrizi" sheetId="3" r:id="rId3"/>
    <sheet name="Rinvoq" sheetId="4" r:id="rId4"/>
    <sheet name="Total Immunology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24" i="1"/>
  <c r="F23" i="1"/>
  <c r="F22" i="1"/>
  <c r="F21" i="1"/>
  <c r="F20" i="1"/>
  <c r="F19" i="1"/>
  <c r="F18" i="1"/>
  <c r="F17" i="1"/>
  <c r="F16" i="1"/>
  <c r="F15" i="1"/>
  <c r="F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" authorId="0" shapeId="0" xr:uid="{80ED70E3-63E2-4C47-B468-0F00D2E7B31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COVID
</t>
        </r>
      </text>
    </comment>
    <comment ref="A14" authorId="0" shapeId="0" xr:uid="{EC7E8369-7220-5640-A0EE-92C34DDE632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loss of exclusivity (patent cliff) for Humira</t>
        </r>
      </text>
    </comment>
  </commentList>
</comments>
</file>

<file path=xl/sharedStrings.xml><?xml version="1.0" encoding="utf-8"?>
<sst xmlns="http://schemas.openxmlformats.org/spreadsheetml/2006/main" count="38" uniqueCount="30">
  <si>
    <t>quarter-year</t>
  </si>
  <si>
    <t>Q4-2025</t>
  </si>
  <si>
    <t>Q3-2025</t>
  </si>
  <si>
    <t>Q2-2025</t>
  </si>
  <si>
    <t>Q1-2025</t>
  </si>
  <si>
    <t>Q4-2024</t>
  </si>
  <si>
    <t>Q3-2024</t>
  </si>
  <si>
    <t>Q2-2024</t>
  </si>
  <si>
    <t>Q1-2024</t>
  </si>
  <si>
    <r>
      <rPr>
        <b/>
        <sz val="12"/>
        <color theme="1"/>
        <rFont val="Calibri"/>
        <family val="2"/>
        <scheme val="minor"/>
      </rPr>
      <t>Humira</t>
    </r>
    <r>
      <rPr>
        <sz val="12"/>
        <color theme="1"/>
        <rFont val="Calibri"/>
        <family val="2"/>
        <scheme val="minor"/>
      </rPr>
      <t xml:space="preserve"> Global Quarterly Net Revenue ($ billions)</t>
    </r>
  </si>
  <si>
    <r>
      <rPr>
        <b/>
        <sz val="12"/>
        <color theme="1"/>
        <rFont val="Calibri"/>
        <family val="2"/>
        <scheme val="minor"/>
      </rPr>
      <t>Skyrizi</t>
    </r>
    <r>
      <rPr>
        <sz val="12"/>
        <color theme="1"/>
        <rFont val="Calibri"/>
        <family val="2"/>
        <scheme val="minor"/>
      </rPr>
      <t xml:space="preserve"> Global Quarterly Net Revenue ($ billions)</t>
    </r>
  </si>
  <si>
    <r>
      <rPr>
        <b/>
        <sz val="12"/>
        <color rgb="FF000000"/>
        <rFont val="Calibri"/>
        <family val="2"/>
        <scheme val="minor"/>
      </rPr>
      <t>Rinvoq</t>
    </r>
    <r>
      <rPr>
        <sz val="12"/>
        <color rgb="FF000000"/>
        <rFont val="Calibri"/>
        <family val="2"/>
        <scheme val="minor"/>
      </rPr>
      <t xml:space="preserve"> Global Quarterly Net Revenue ($ billions)</t>
    </r>
  </si>
  <si>
    <t>Q4-2023</t>
  </si>
  <si>
    <t>Q3-2023</t>
  </si>
  <si>
    <t>Q2-2023</t>
  </si>
  <si>
    <t>Total Immunology Net Revenue for Quarter</t>
  </si>
  <si>
    <t>Q1-2023</t>
  </si>
  <si>
    <t>Q4-2022</t>
  </si>
  <si>
    <t>Q3-2022</t>
  </si>
  <si>
    <t>Q2-2022</t>
  </si>
  <si>
    <t>Q1-2022</t>
  </si>
  <si>
    <t>Q4-2021</t>
  </si>
  <si>
    <t>Q3-2021</t>
  </si>
  <si>
    <t>Q2-2021</t>
  </si>
  <si>
    <t>Q1-2021</t>
  </si>
  <si>
    <t>Q4-2020</t>
  </si>
  <si>
    <t>Q3-2020</t>
  </si>
  <si>
    <t>Q2-2020</t>
  </si>
  <si>
    <t>Q1-2020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</si>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</sst>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AbbVie Immunology</a:t>
            </a:r>
            <a:r>
              <a:rPr lang="en-US" baseline="0"/>
              <a:t> Net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QtrlyNetRevenues!$C$1</c:f>
              <c:strCache>
                <c:ptCount val="1"/>
                <c:pt idx="0">
                  <c:v>Humira Global Quarterly Net Revenue ($ billions)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QtrlyNetRevenues!$B$2:$B$25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QtrlyNetRevenues!$C$2:$C$25</c:f>
              <c:numCache>
                <c:formatCode>General</c:formatCode>
                <c:ptCount val="24"/>
                <c:pt idx="0">
                  <c:v>4.7030000000000003</c:v>
                </c:pt>
                <c:pt idx="1">
                  <c:v>4.8369999999999997</c:v>
                </c:pt>
                <c:pt idx="2">
                  <c:v>5.14</c:v>
                </c:pt>
                <c:pt idx="3">
                  <c:v>5.1520000000000001</c:v>
                </c:pt>
                <c:pt idx="4">
                  <c:v>4.867</c:v>
                </c:pt>
                <c:pt idx="5">
                  <c:v>5.0679999999999996</c:v>
                </c:pt>
                <c:pt idx="6">
                  <c:v>5.4249999999999998</c:v>
                </c:pt>
                <c:pt idx="7">
                  <c:v>5.3339999999999996</c:v>
                </c:pt>
                <c:pt idx="8">
                  <c:v>4.7359999999999998</c:v>
                </c:pt>
                <c:pt idx="9">
                  <c:v>5.3630000000000004</c:v>
                </c:pt>
                <c:pt idx="10">
                  <c:v>5.5590000000000002</c:v>
                </c:pt>
                <c:pt idx="11">
                  <c:v>5.5789999999999997</c:v>
                </c:pt>
                <c:pt idx="12">
                  <c:v>3.5409999999999999</c:v>
                </c:pt>
                <c:pt idx="13">
                  <c:v>4.0119999999999996</c:v>
                </c:pt>
                <c:pt idx="14">
                  <c:v>3.5470000000000002</c:v>
                </c:pt>
                <c:pt idx="15">
                  <c:v>3.3039999999999998</c:v>
                </c:pt>
                <c:pt idx="16">
                  <c:v>2.27</c:v>
                </c:pt>
                <c:pt idx="17">
                  <c:v>2.8140000000000001</c:v>
                </c:pt>
                <c:pt idx="18">
                  <c:v>2.2269999999999999</c:v>
                </c:pt>
                <c:pt idx="19">
                  <c:v>1.6819999999999999</c:v>
                </c:pt>
                <c:pt idx="20">
                  <c:v>1.121</c:v>
                </c:pt>
                <c:pt idx="21">
                  <c:v>1.18</c:v>
                </c:pt>
                <c:pt idx="22">
                  <c:v>0.99299999999999999</c:v>
                </c:pt>
                <c:pt idx="23">
                  <c:v>1.246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8A-3341-8A96-D819B857D4ED}"/>
            </c:ext>
          </c:extLst>
        </c:ser>
        <c:ser>
          <c:idx val="1"/>
          <c:order val="1"/>
          <c:tx>
            <c:strRef>
              <c:f>QtrlyNetRevenues!$D$1</c:f>
              <c:strCache>
                <c:ptCount val="1"/>
                <c:pt idx="0">
                  <c:v>Skyrizi Global Quarterly Net Revenue ($ billions)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QtrlyNetRevenues!$B$2:$B$25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QtrlyNetRevenues!$D$2:$D$25</c:f>
              <c:numCache>
                <c:formatCode>General</c:formatCode>
                <c:ptCount val="24"/>
                <c:pt idx="0">
                  <c:v>0.3</c:v>
                </c:pt>
                <c:pt idx="1">
                  <c:v>0.33</c:v>
                </c:pt>
                <c:pt idx="2">
                  <c:v>0.435</c:v>
                </c:pt>
                <c:pt idx="3">
                  <c:v>0.52500000000000002</c:v>
                </c:pt>
                <c:pt idx="4">
                  <c:v>0.57399999999999995</c:v>
                </c:pt>
                <c:pt idx="5">
                  <c:v>0.67400000000000004</c:v>
                </c:pt>
                <c:pt idx="6">
                  <c:v>0.79600000000000004</c:v>
                </c:pt>
                <c:pt idx="7">
                  <c:v>0.89500000000000002</c:v>
                </c:pt>
                <c:pt idx="8">
                  <c:v>0.94</c:v>
                </c:pt>
                <c:pt idx="9">
                  <c:v>1.252</c:v>
                </c:pt>
                <c:pt idx="10">
                  <c:v>1.397</c:v>
                </c:pt>
                <c:pt idx="11">
                  <c:v>1.5760000000000001</c:v>
                </c:pt>
                <c:pt idx="12">
                  <c:v>1.36</c:v>
                </c:pt>
                <c:pt idx="13">
                  <c:v>1.883</c:v>
                </c:pt>
                <c:pt idx="14">
                  <c:v>2.1259999999999999</c:v>
                </c:pt>
                <c:pt idx="15">
                  <c:v>2.3940000000000001</c:v>
                </c:pt>
                <c:pt idx="16">
                  <c:v>2.008</c:v>
                </c:pt>
                <c:pt idx="17">
                  <c:v>2.7269999999999999</c:v>
                </c:pt>
                <c:pt idx="18">
                  <c:v>3.2050000000000001</c:v>
                </c:pt>
                <c:pt idx="19">
                  <c:v>3.778</c:v>
                </c:pt>
                <c:pt idx="20">
                  <c:v>3.4249999999999998</c:v>
                </c:pt>
                <c:pt idx="21">
                  <c:v>4.423</c:v>
                </c:pt>
                <c:pt idx="22">
                  <c:v>4.7080000000000002</c:v>
                </c:pt>
                <c:pt idx="23">
                  <c:v>5.0060000000000002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8A-3341-8A96-D819B857D4ED}"/>
            </c:ext>
          </c:extLst>
        </c:ser>
        <c:ser>
          <c:idx val="2"/>
          <c:order val="2"/>
          <c:tx>
            <c:strRef>
              <c:f>QtrlyNetRevenues!$E$1</c:f>
              <c:strCache>
                <c:ptCount val="1"/>
                <c:pt idx="0">
                  <c:v>Rinvoq Global Quarterly Net Revenue ($ billions)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QtrlyNetRevenues!$B$2:$B$25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QtrlyNetRevenues!$E$2:$E$25</c:f>
              <c:numCache>
                <c:formatCode>General</c:formatCode>
                <c:ptCount val="24"/>
                <c:pt idx="0">
                  <c:v>0.86</c:v>
                </c:pt>
                <c:pt idx="1">
                  <c:v>0.14899999999999999</c:v>
                </c:pt>
                <c:pt idx="2">
                  <c:v>0.215</c:v>
                </c:pt>
                <c:pt idx="3">
                  <c:v>0.28100000000000003</c:v>
                </c:pt>
                <c:pt idx="4">
                  <c:v>0.30299999999999999</c:v>
                </c:pt>
                <c:pt idx="5">
                  <c:v>0.378</c:v>
                </c:pt>
                <c:pt idx="6">
                  <c:v>0.45300000000000001</c:v>
                </c:pt>
                <c:pt idx="7">
                  <c:v>0.51700000000000002</c:v>
                </c:pt>
                <c:pt idx="8">
                  <c:v>0.46500000000000002</c:v>
                </c:pt>
                <c:pt idx="9">
                  <c:v>0.59199999999999997</c:v>
                </c:pt>
                <c:pt idx="10">
                  <c:v>0.69499999999999995</c:v>
                </c:pt>
                <c:pt idx="11">
                  <c:v>0.77</c:v>
                </c:pt>
                <c:pt idx="12">
                  <c:v>0.68600000000000005</c:v>
                </c:pt>
                <c:pt idx="13">
                  <c:v>0.91800000000000004</c:v>
                </c:pt>
                <c:pt idx="14">
                  <c:v>1.1100000000000001</c:v>
                </c:pt>
                <c:pt idx="15">
                  <c:v>1.2549999999999999</c:v>
                </c:pt>
                <c:pt idx="16">
                  <c:v>1.093</c:v>
                </c:pt>
                <c:pt idx="17">
                  <c:v>1.43</c:v>
                </c:pt>
                <c:pt idx="18">
                  <c:v>1.6140000000000001</c:v>
                </c:pt>
                <c:pt idx="19">
                  <c:v>1.8340000000000001</c:v>
                </c:pt>
                <c:pt idx="20">
                  <c:v>1.718</c:v>
                </c:pt>
                <c:pt idx="21">
                  <c:v>2.028</c:v>
                </c:pt>
                <c:pt idx="22">
                  <c:v>2.1840000000000002</c:v>
                </c:pt>
                <c:pt idx="23">
                  <c:v>2.3740000000000001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8A-3341-8A96-D819B857D4ED}"/>
            </c:ext>
          </c:extLst>
        </c:ser>
        <c:ser>
          <c:idx val="3"/>
          <c:order val="3"/>
          <c:tx>
            <c:strRef>
              <c:f>QtrlyNetRevenues!$F$1</c:f>
              <c:strCache>
                <c:ptCount val="1"/>
                <c:pt idx="0">
                  <c:v>Total Immunology Net Revenue for Quarter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QtrlyNetRevenues!$B$2:$B$25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QtrlyNetRevenues!$F$2:$F$25</c:f>
              <c:numCache>
                <c:formatCode>General</c:formatCode>
                <c:ptCount val="24"/>
                <c:pt idx="0">
                  <c:v>5.8630000000000004</c:v>
                </c:pt>
                <c:pt idx="1">
                  <c:v>5.3159999999999998</c:v>
                </c:pt>
                <c:pt idx="2">
                  <c:v>5.7899999999999991</c:v>
                </c:pt>
                <c:pt idx="3">
                  <c:v>5.9580000000000002</c:v>
                </c:pt>
                <c:pt idx="4">
                  <c:v>5.7439999999999998</c:v>
                </c:pt>
                <c:pt idx="5">
                  <c:v>6.12</c:v>
                </c:pt>
                <c:pt idx="6">
                  <c:v>6.6740000000000004</c:v>
                </c:pt>
                <c:pt idx="7">
                  <c:v>6.7459999999999996</c:v>
                </c:pt>
                <c:pt idx="8">
                  <c:v>6.141</c:v>
                </c:pt>
                <c:pt idx="9">
                  <c:v>7.2069999999999999</c:v>
                </c:pt>
                <c:pt idx="10">
                  <c:v>7.6510000000000007</c:v>
                </c:pt>
                <c:pt idx="11">
                  <c:v>7.9249999999999989</c:v>
                </c:pt>
                <c:pt idx="12">
                  <c:v>5.5869999999999997</c:v>
                </c:pt>
                <c:pt idx="13">
                  <c:v>6.8129999999999997</c:v>
                </c:pt>
                <c:pt idx="14">
                  <c:v>6.7830000000000004</c:v>
                </c:pt>
                <c:pt idx="15">
                  <c:v>6.9530000000000003</c:v>
                </c:pt>
                <c:pt idx="16">
                  <c:v>5.3710000000000004</c:v>
                </c:pt>
                <c:pt idx="17">
                  <c:v>6.9710000000000001</c:v>
                </c:pt>
                <c:pt idx="18">
                  <c:v>7.0460000000000003</c:v>
                </c:pt>
                <c:pt idx="19">
                  <c:v>7.2940000000000005</c:v>
                </c:pt>
                <c:pt idx="20">
                  <c:v>6.2639999999999993</c:v>
                </c:pt>
                <c:pt idx="21">
                  <c:v>7.6310000000000002</c:v>
                </c:pt>
                <c:pt idx="22">
                  <c:v>7.8850000000000007</c:v>
                </c:pt>
                <c:pt idx="23">
                  <c:v>8.6260000000000012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8A-3341-8A96-D819B857D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21903"/>
        <c:axId val="1635874176"/>
      </c:scatterChart>
      <c:valAx>
        <c:axId val="40212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874176"/>
        <c:crosses val="autoZero"/>
        <c:crossBetween val="midCat"/>
      </c:valAx>
      <c:valAx>
        <c:axId val="16358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21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6</xdr:row>
      <xdr:rowOff>63500</xdr:rowOff>
    </xdr:from>
    <xdr:to>
      <xdr:col>14</xdr:col>
      <xdr:colOff>355600</xdr:colOff>
      <xdr:row>37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ABC4E0-B653-ED40-A0F3-74E4944F5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64F8-465B-134E-937B-DA7AE1F74486}">
  <dimension ref="A1:F25"/>
  <sheetViews>
    <sheetView tabSelected="1" workbookViewId="0">
      <selection activeCell="B34" sqref="B34"/>
    </sheetView>
  </sheetViews>
  <sheetFormatPr baseColWidth="10" defaultRowHeight="16"/>
  <cols>
    <col min="1" max="1" width="11.33203125" bestFit="1" customWidth="1"/>
    <col min="2" max="2" width="11.33203125" customWidth="1"/>
    <col min="3" max="3" width="42.33203125" bestFit="1" customWidth="1"/>
    <col min="4" max="4" width="41.33203125" bestFit="1" customWidth="1"/>
    <col min="5" max="5" width="42.33203125" bestFit="1" customWidth="1"/>
    <col min="6" max="6" width="37.5" bestFit="1" customWidth="1"/>
  </cols>
  <sheetData>
    <row r="1" spans="1:6">
      <c r="A1" t="s">
        <v>0</v>
      </c>
      <c r="B1" t="s">
        <v>29</v>
      </c>
      <c r="C1" t="s">
        <v>9</v>
      </c>
      <c r="D1" t="s">
        <v>10</v>
      </c>
      <c r="E1" s="1" t="s">
        <v>11</v>
      </c>
      <c r="F1" t="s">
        <v>15</v>
      </c>
    </row>
    <row r="2" spans="1:6">
      <c r="A2" t="s">
        <v>28</v>
      </c>
      <c r="B2">
        <v>1</v>
      </c>
      <c r="C2">
        <v>4.7030000000000003</v>
      </c>
      <c r="D2">
        <v>0.3</v>
      </c>
      <c r="E2">
        <v>0.86</v>
      </c>
      <c r="F2">
        <f>C2+D2+E2</f>
        <v>5.8630000000000004</v>
      </c>
    </row>
    <row r="3" spans="1:6">
      <c r="A3" t="s">
        <v>27</v>
      </c>
      <c r="B3">
        <v>2</v>
      </c>
      <c r="C3">
        <v>4.8369999999999997</v>
      </c>
      <c r="D3">
        <v>0.33</v>
      </c>
      <c r="E3">
        <v>0.14899999999999999</v>
      </c>
      <c r="F3">
        <f>C3+D3+E3</f>
        <v>5.3159999999999998</v>
      </c>
    </row>
    <row r="4" spans="1:6">
      <c r="A4" t="s">
        <v>26</v>
      </c>
      <c r="B4">
        <v>3</v>
      </c>
      <c r="C4">
        <v>5.14</v>
      </c>
      <c r="D4">
        <v>0.435</v>
      </c>
      <c r="E4">
        <v>0.215</v>
      </c>
      <c r="F4">
        <f>C4+D4+E4</f>
        <v>5.7899999999999991</v>
      </c>
    </row>
    <row r="5" spans="1:6">
      <c r="A5" t="s">
        <v>25</v>
      </c>
      <c r="B5">
        <v>4</v>
      </c>
      <c r="C5">
        <v>5.1520000000000001</v>
      </c>
      <c r="D5">
        <v>0.52500000000000002</v>
      </c>
      <c r="E5">
        <v>0.28100000000000003</v>
      </c>
      <c r="F5">
        <f>C5+D5+E5</f>
        <v>5.9580000000000002</v>
      </c>
    </row>
    <row r="6" spans="1:6">
      <c r="A6" t="s">
        <v>24</v>
      </c>
      <c r="B6">
        <v>5</v>
      </c>
      <c r="C6">
        <v>4.867</v>
      </c>
      <c r="D6">
        <v>0.57399999999999995</v>
      </c>
      <c r="E6">
        <v>0.30299999999999999</v>
      </c>
      <c r="F6">
        <f>C6+D6+E6</f>
        <v>5.7439999999999998</v>
      </c>
    </row>
    <row r="7" spans="1:6">
      <c r="A7" t="s">
        <v>23</v>
      </c>
      <c r="B7">
        <v>6</v>
      </c>
      <c r="C7">
        <v>5.0679999999999996</v>
      </c>
      <c r="D7">
        <v>0.67400000000000004</v>
      </c>
      <c r="E7">
        <v>0.378</v>
      </c>
      <c r="F7">
        <f>C7+D7+E7</f>
        <v>6.12</v>
      </c>
    </row>
    <row r="8" spans="1:6">
      <c r="A8" t="s">
        <v>22</v>
      </c>
      <c r="B8">
        <v>7</v>
      </c>
      <c r="C8">
        <v>5.4249999999999998</v>
      </c>
      <c r="D8">
        <v>0.79600000000000004</v>
      </c>
      <c r="E8">
        <v>0.45300000000000001</v>
      </c>
      <c r="F8">
        <f>C8+D8+E8</f>
        <v>6.6740000000000004</v>
      </c>
    </row>
    <row r="9" spans="1:6">
      <c r="A9" t="s">
        <v>21</v>
      </c>
      <c r="B9">
        <v>8</v>
      </c>
      <c r="C9">
        <v>5.3339999999999996</v>
      </c>
      <c r="D9">
        <v>0.89500000000000002</v>
      </c>
      <c r="E9">
        <v>0.51700000000000002</v>
      </c>
      <c r="F9">
        <f>C9+D9+E9</f>
        <v>6.7459999999999996</v>
      </c>
    </row>
    <row r="10" spans="1:6">
      <c r="A10" t="s">
        <v>20</v>
      </c>
      <c r="B10">
        <v>9</v>
      </c>
      <c r="C10">
        <v>4.7359999999999998</v>
      </c>
      <c r="D10">
        <v>0.94</v>
      </c>
      <c r="E10">
        <v>0.46500000000000002</v>
      </c>
      <c r="F10">
        <f>C10+D10+E10</f>
        <v>6.141</v>
      </c>
    </row>
    <row r="11" spans="1:6">
      <c r="A11" t="s">
        <v>19</v>
      </c>
      <c r="B11">
        <v>10</v>
      </c>
      <c r="C11">
        <v>5.3630000000000004</v>
      </c>
      <c r="D11">
        <v>1.252</v>
      </c>
      <c r="E11">
        <v>0.59199999999999997</v>
      </c>
      <c r="F11">
        <f>C11+D11+E11</f>
        <v>7.2069999999999999</v>
      </c>
    </row>
    <row r="12" spans="1:6">
      <c r="A12" t="s">
        <v>18</v>
      </c>
      <c r="B12">
        <v>11</v>
      </c>
      <c r="C12">
        <v>5.5590000000000002</v>
      </c>
      <c r="D12">
        <v>1.397</v>
      </c>
      <c r="E12">
        <v>0.69499999999999995</v>
      </c>
      <c r="F12">
        <f>C12+D12+E12</f>
        <v>7.6510000000000007</v>
      </c>
    </row>
    <row r="13" spans="1:6">
      <c r="A13" t="s">
        <v>17</v>
      </c>
      <c r="B13">
        <v>12</v>
      </c>
      <c r="C13">
        <v>5.5789999999999997</v>
      </c>
      <c r="D13">
        <v>1.5760000000000001</v>
      </c>
      <c r="E13">
        <v>0.77</v>
      </c>
      <c r="F13">
        <f>C13+D13+E13</f>
        <v>7.9249999999999989</v>
      </c>
    </row>
    <row r="14" spans="1:6">
      <c r="A14" t="s">
        <v>16</v>
      </c>
      <c r="B14">
        <v>13</v>
      </c>
      <c r="C14">
        <v>3.5409999999999999</v>
      </c>
      <c r="D14">
        <v>1.36</v>
      </c>
      <c r="E14">
        <v>0.68600000000000005</v>
      </c>
      <c r="F14">
        <f>C14+D14+E14</f>
        <v>5.5869999999999997</v>
      </c>
    </row>
    <row r="15" spans="1:6">
      <c r="A15" t="s">
        <v>14</v>
      </c>
      <c r="B15">
        <v>14</v>
      </c>
      <c r="C15">
        <v>4.0119999999999996</v>
      </c>
      <c r="D15">
        <v>1.883</v>
      </c>
      <c r="E15">
        <v>0.91800000000000004</v>
      </c>
      <c r="F15">
        <f>C15+D15+E15</f>
        <v>6.8129999999999997</v>
      </c>
    </row>
    <row r="16" spans="1:6">
      <c r="A16" t="s">
        <v>13</v>
      </c>
      <c r="B16">
        <v>15</v>
      </c>
      <c r="C16">
        <v>3.5470000000000002</v>
      </c>
      <c r="D16">
        <v>2.1259999999999999</v>
      </c>
      <c r="E16">
        <v>1.1100000000000001</v>
      </c>
      <c r="F16">
        <f>C16+D16+E16</f>
        <v>6.7830000000000004</v>
      </c>
    </row>
    <row r="17" spans="1:6">
      <c r="A17" t="s">
        <v>12</v>
      </c>
      <c r="B17">
        <v>16</v>
      </c>
      <c r="C17">
        <v>3.3039999999999998</v>
      </c>
      <c r="D17">
        <v>2.3940000000000001</v>
      </c>
      <c r="E17">
        <v>1.2549999999999999</v>
      </c>
      <c r="F17">
        <f>C17+D17+E17</f>
        <v>6.9530000000000003</v>
      </c>
    </row>
    <row r="18" spans="1:6">
      <c r="A18" t="s">
        <v>8</v>
      </c>
      <c r="B18">
        <v>17</v>
      </c>
      <c r="C18">
        <v>2.27</v>
      </c>
      <c r="D18">
        <v>2.008</v>
      </c>
      <c r="E18">
        <v>1.093</v>
      </c>
      <c r="F18">
        <f>C18+D18+E18</f>
        <v>5.3710000000000004</v>
      </c>
    </row>
    <row r="19" spans="1:6">
      <c r="A19" t="s">
        <v>7</v>
      </c>
      <c r="B19">
        <v>18</v>
      </c>
      <c r="C19">
        <v>2.8140000000000001</v>
      </c>
      <c r="D19">
        <v>2.7269999999999999</v>
      </c>
      <c r="E19">
        <v>1.43</v>
      </c>
      <c r="F19">
        <f>C19+D19+E19</f>
        <v>6.9710000000000001</v>
      </c>
    </row>
    <row r="20" spans="1:6">
      <c r="A20" t="s">
        <v>6</v>
      </c>
      <c r="B20">
        <v>19</v>
      </c>
      <c r="C20">
        <v>2.2269999999999999</v>
      </c>
      <c r="D20">
        <v>3.2050000000000001</v>
      </c>
      <c r="E20">
        <v>1.6140000000000001</v>
      </c>
      <c r="F20">
        <f>C20+D20+E20</f>
        <v>7.0460000000000003</v>
      </c>
    </row>
    <row r="21" spans="1:6">
      <c r="A21" t="s">
        <v>5</v>
      </c>
      <c r="B21">
        <v>20</v>
      </c>
      <c r="C21">
        <v>1.6819999999999999</v>
      </c>
      <c r="D21">
        <v>3.778</v>
      </c>
      <c r="E21">
        <v>1.8340000000000001</v>
      </c>
      <c r="F21">
        <f>C21+D21+E21</f>
        <v>7.2940000000000005</v>
      </c>
    </row>
    <row r="22" spans="1:6">
      <c r="A22" t="s">
        <v>4</v>
      </c>
      <c r="B22">
        <v>21</v>
      </c>
      <c r="C22">
        <v>1.121</v>
      </c>
      <c r="D22">
        <v>3.4249999999999998</v>
      </c>
      <c r="E22">
        <v>1.718</v>
      </c>
      <c r="F22">
        <f>C22+D22+E22</f>
        <v>6.2639999999999993</v>
      </c>
    </row>
    <row r="23" spans="1:6">
      <c r="A23" t="s">
        <v>3</v>
      </c>
      <c r="B23">
        <v>22</v>
      </c>
      <c r="C23">
        <v>1.18</v>
      </c>
      <c r="D23">
        <v>4.423</v>
      </c>
      <c r="E23">
        <v>2.028</v>
      </c>
      <c r="F23">
        <f>C23+D23+E23</f>
        <v>7.6310000000000002</v>
      </c>
    </row>
    <row r="24" spans="1:6">
      <c r="A24" t="s">
        <v>2</v>
      </c>
      <c r="B24">
        <v>23</v>
      </c>
      <c r="C24">
        <v>0.99299999999999999</v>
      </c>
      <c r="D24">
        <v>4.7080000000000002</v>
      </c>
      <c r="E24">
        <v>2.1840000000000002</v>
      </c>
      <c r="F24">
        <f>C24+D24+E24</f>
        <v>7.8850000000000007</v>
      </c>
    </row>
    <row r="25" spans="1:6">
      <c r="A25" t="s">
        <v>1</v>
      </c>
      <c r="B25">
        <v>24</v>
      </c>
      <c r="C25">
        <v>1.246</v>
      </c>
      <c r="D25">
        <v>5.0060000000000002</v>
      </c>
      <c r="E25">
        <v>2.3740000000000001</v>
      </c>
      <c r="F25">
        <f>C25+D25+E25</f>
        <v>8.6260000000000012</v>
      </c>
    </row>
  </sheetData>
  <sortState xmlns:xlrd2="http://schemas.microsoft.com/office/spreadsheetml/2017/richdata2" ref="A2:F25">
    <sortCondition ref="B1"/>
  </sortState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A1A3-EE4B-9C4E-B44E-6AF0A88C3CAA}">
  <dimension ref="A1:B25"/>
  <sheetViews>
    <sheetView workbookViewId="0">
      <selection activeCell="B40" sqref="B40"/>
    </sheetView>
  </sheetViews>
  <sheetFormatPr baseColWidth="10" defaultRowHeight="16"/>
  <cols>
    <col min="2" max="2" width="42.5" bestFit="1" customWidth="1"/>
  </cols>
  <sheetData>
    <row r="1" spans="1:2">
      <c r="A1" t="s">
        <v>29</v>
      </c>
      <c r="B1" t="s">
        <v>9</v>
      </c>
    </row>
    <row r="2" spans="1:2">
      <c r="A2">
        <v>1</v>
      </c>
      <c r="B2">
        <v>4.7030000000000003</v>
      </c>
    </row>
    <row r="3" spans="1:2">
      <c r="A3">
        <v>2</v>
      </c>
      <c r="B3">
        <v>4.8369999999999997</v>
      </c>
    </row>
    <row r="4" spans="1:2">
      <c r="A4">
        <v>3</v>
      </c>
      <c r="B4">
        <v>5.14</v>
      </c>
    </row>
    <row r="5" spans="1:2">
      <c r="A5">
        <v>4</v>
      </c>
      <c r="B5">
        <v>5.1520000000000001</v>
      </c>
    </row>
    <row r="6" spans="1:2">
      <c r="A6">
        <v>5</v>
      </c>
      <c r="B6">
        <v>4.867</v>
      </c>
    </row>
    <row r="7" spans="1:2">
      <c r="A7">
        <v>6</v>
      </c>
      <c r="B7">
        <v>5.0679999999999996</v>
      </c>
    </row>
    <row r="8" spans="1:2">
      <c r="A8">
        <v>7</v>
      </c>
      <c r="B8">
        <v>5.4249999999999998</v>
      </c>
    </row>
    <row r="9" spans="1:2">
      <c r="A9">
        <v>8</v>
      </c>
      <c r="B9">
        <v>5.3339999999999996</v>
      </c>
    </row>
    <row r="10" spans="1:2">
      <c r="A10">
        <v>9</v>
      </c>
      <c r="B10">
        <v>4.7359999999999998</v>
      </c>
    </row>
    <row r="11" spans="1:2">
      <c r="A11">
        <v>10</v>
      </c>
      <c r="B11">
        <v>5.3630000000000004</v>
      </c>
    </row>
    <row r="12" spans="1:2">
      <c r="A12">
        <v>11</v>
      </c>
      <c r="B12">
        <v>5.5590000000000002</v>
      </c>
    </row>
    <row r="13" spans="1:2">
      <c r="A13">
        <v>12</v>
      </c>
      <c r="B13">
        <v>5.5789999999999997</v>
      </c>
    </row>
    <row r="14" spans="1:2">
      <c r="A14">
        <v>13</v>
      </c>
      <c r="B14">
        <v>3.5409999999999999</v>
      </c>
    </row>
    <row r="15" spans="1:2">
      <c r="A15">
        <v>14</v>
      </c>
      <c r="B15">
        <v>4.0119999999999996</v>
      </c>
    </row>
    <row r="16" spans="1:2">
      <c r="A16">
        <v>15</v>
      </c>
      <c r="B16">
        <v>3.5470000000000002</v>
      </c>
    </row>
    <row r="17" spans="1:2">
      <c r="A17">
        <v>16</v>
      </c>
      <c r="B17">
        <v>3.3039999999999998</v>
      </c>
    </row>
    <row r="18" spans="1:2">
      <c r="A18">
        <v>17</v>
      </c>
      <c r="B18">
        <v>2.27</v>
      </c>
    </row>
    <row r="19" spans="1:2">
      <c r="A19">
        <v>18</v>
      </c>
      <c r="B19">
        <v>2.8140000000000001</v>
      </c>
    </row>
    <row r="20" spans="1:2">
      <c r="A20">
        <v>19</v>
      </c>
      <c r="B20">
        <v>2.2269999999999999</v>
      </c>
    </row>
    <row r="21" spans="1:2">
      <c r="A21">
        <v>20</v>
      </c>
      <c r="B21">
        <v>1.6819999999999999</v>
      </c>
    </row>
    <row r="22" spans="1:2">
      <c r="A22">
        <v>21</v>
      </c>
      <c r="B22">
        <v>1.121</v>
      </c>
    </row>
    <row r="23" spans="1:2">
      <c r="A23">
        <v>22</v>
      </c>
      <c r="B23">
        <v>1.18</v>
      </c>
    </row>
    <row r="24" spans="1:2">
      <c r="A24">
        <v>23</v>
      </c>
      <c r="B24">
        <v>0.99299999999999999</v>
      </c>
    </row>
    <row r="25" spans="1:2">
      <c r="A25">
        <v>24</v>
      </c>
      <c r="B25">
        <v>1.246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E3277-0446-6649-B067-AA2821257386}">
  <dimension ref="A1:B25"/>
  <sheetViews>
    <sheetView workbookViewId="0">
      <selection activeCell="B1" sqref="B1:B25"/>
    </sheetView>
  </sheetViews>
  <sheetFormatPr baseColWidth="10" defaultRowHeight="16"/>
  <cols>
    <col min="2" max="2" width="41.6640625" bestFit="1" customWidth="1"/>
  </cols>
  <sheetData>
    <row r="1" spans="1:2">
      <c r="A1" t="s">
        <v>29</v>
      </c>
      <c r="B1" t="s">
        <v>10</v>
      </c>
    </row>
    <row r="2" spans="1:2">
      <c r="A2">
        <v>1</v>
      </c>
      <c r="B2">
        <v>0.3</v>
      </c>
    </row>
    <row r="3" spans="1:2">
      <c r="A3">
        <v>2</v>
      </c>
      <c r="B3">
        <v>0.33</v>
      </c>
    </row>
    <row r="4" spans="1:2">
      <c r="A4">
        <v>3</v>
      </c>
      <c r="B4">
        <v>0.435</v>
      </c>
    </row>
    <row r="5" spans="1:2">
      <c r="A5">
        <v>4</v>
      </c>
      <c r="B5">
        <v>0.52500000000000002</v>
      </c>
    </row>
    <row r="6" spans="1:2">
      <c r="A6">
        <v>5</v>
      </c>
      <c r="B6">
        <v>0.57399999999999995</v>
      </c>
    </row>
    <row r="7" spans="1:2">
      <c r="A7">
        <v>6</v>
      </c>
      <c r="B7">
        <v>0.67400000000000004</v>
      </c>
    </row>
    <row r="8" spans="1:2">
      <c r="A8">
        <v>7</v>
      </c>
      <c r="B8">
        <v>0.79600000000000004</v>
      </c>
    </row>
    <row r="9" spans="1:2">
      <c r="A9">
        <v>8</v>
      </c>
      <c r="B9">
        <v>0.89500000000000002</v>
      </c>
    </row>
    <row r="10" spans="1:2">
      <c r="A10">
        <v>9</v>
      </c>
      <c r="B10">
        <v>0.94</v>
      </c>
    </row>
    <row r="11" spans="1:2">
      <c r="A11">
        <v>10</v>
      </c>
      <c r="B11">
        <v>1.252</v>
      </c>
    </row>
    <row r="12" spans="1:2">
      <c r="A12">
        <v>11</v>
      </c>
      <c r="B12">
        <v>1.397</v>
      </c>
    </row>
    <row r="13" spans="1:2">
      <c r="A13">
        <v>12</v>
      </c>
      <c r="B13">
        <v>1.5760000000000001</v>
      </c>
    </row>
    <row r="14" spans="1:2">
      <c r="A14">
        <v>13</v>
      </c>
      <c r="B14">
        <v>1.36</v>
      </c>
    </row>
    <row r="15" spans="1:2">
      <c r="A15">
        <v>14</v>
      </c>
      <c r="B15">
        <v>1.883</v>
      </c>
    </row>
    <row r="16" spans="1:2">
      <c r="A16">
        <v>15</v>
      </c>
      <c r="B16">
        <v>2.1259999999999999</v>
      </c>
    </row>
    <row r="17" spans="1:2">
      <c r="A17">
        <v>16</v>
      </c>
      <c r="B17">
        <v>2.3940000000000001</v>
      </c>
    </row>
    <row r="18" spans="1:2">
      <c r="A18">
        <v>17</v>
      </c>
      <c r="B18">
        <v>2.008</v>
      </c>
    </row>
    <row r="19" spans="1:2">
      <c r="A19">
        <v>18</v>
      </c>
      <c r="B19">
        <v>2.7269999999999999</v>
      </c>
    </row>
    <row r="20" spans="1:2">
      <c r="A20">
        <v>19</v>
      </c>
      <c r="B20">
        <v>3.2050000000000001</v>
      </c>
    </row>
    <row r="21" spans="1:2">
      <c r="A21">
        <v>20</v>
      </c>
      <c r="B21">
        <v>3.778</v>
      </c>
    </row>
    <row r="22" spans="1:2">
      <c r="A22">
        <v>21</v>
      </c>
      <c r="B22">
        <v>3.4249999999999998</v>
      </c>
    </row>
    <row r="23" spans="1:2">
      <c r="A23">
        <v>22</v>
      </c>
      <c r="B23">
        <v>4.423</v>
      </c>
    </row>
    <row r="24" spans="1:2">
      <c r="A24">
        <v>23</v>
      </c>
      <c r="B24">
        <v>4.7080000000000002</v>
      </c>
    </row>
    <row r="25" spans="1:2">
      <c r="A25">
        <v>24</v>
      </c>
      <c r="B25">
        <v>5.0060000000000002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F49F-7C81-4347-A9F7-1E46955A9D4B}">
  <dimension ref="A1:B25"/>
  <sheetViews>
    <sheetView workbookViewId="0">
      <selection activeCell="B1" sqref="B1:B25"/>
    </sheetView>
  </sheetViews>
  <sheetFormatPr baseColWidth="10" defaultRowHeight="16"/>
  <cols>
    <col min="2" max="2" width="41.83203125" bestFit="1" customWidth="1"/>
  </cols>
  <sheetData>
    <row r="1" spans="1:2">
      <c r="A1" t="s">
        <v>29</v>
      </c>
      <c r="B1" s="1" t="s">
        <v>11</v>
      </c>
    </row>
    <row r="2" spans="1:2">
      <c r="A2">
        <v>1</v>
      </c>
      <c r="B2">
        <v>0.86</v>
      </c>
    </row>
    <row r="3" spans="1:2">
      <c r="A3">
        <v>2</v>
      </c>
      <c r="B3">
        <v>0.14899999999999999</v>
      </c>
    </row>
    <row r="4" spans="1:2">
      <c r="A4">
        <v>3</v>
      </c>
      <c r="B4">
        <v>0.215</v>
      </c>
    </row>
    <row r="5" spans="1:2">
      <c r="A5">
        <v>4</v>
      </c>
      <c r="B5">
        <v>0.28100000000000003</v>
      </c>
    </row>
    <row r="6" spans="1:2">
      <c r="A6">
        <v>5</v>
      </c>
      <c r="B6">
        <v>0.30299999999999999</v>
      </c>
    </row>
    <row r="7" spans="1:2">
      <c r="A7">
        <v>6</v>
      </c>
      <c r="B7">
        <v>0.378</v>
      </c>
    </row>
    <row r="8" spans="1:2">
      <c r="A8">
        <v>7</v>
      </c>
      <c r="B8">
        <v>0.45300000000000001</v>
      </c>
    </row>
    <row r="9" spans="1:2">
      <c r="A9">
        <v>8</v>
      </c>
      <c r="B9">
        <v>0.51700000000000002</v>
      </c>
    </row>
    <row r="10" spans="1:2">
      <c r="A10">
        <v>9</v>
      </c>
      <c r="B10">
        <v>0.46500000000000002</v>
      </c>
    </row>
    <row r="11" spans="1:2">
      <c r="A11">
        <v>10</v>
      </c>
      <c r="B11">
        <v>0.59199999999999997</v>
      </c>
    </row>
    <row r="12" spans="1:2">
      <c r="A12">
        <v>11</v>
      </c>
      <c r="B12">
        <v>0.69499999999999995</v>
      </c>
    </row>
    <row r="13" spans="1:2">
      <c r="A13">
        <v>12</v>
      </c>
      <c r="B13">
        <v>0.77</v>
      </c>
    </row>
    <row r="14" spans="1:2">
      <c r="A14">
        <v>13</v>
      </c>
      <c r="B14">
        <v>0.68600000000000005</v>
      </c>
    </row>
    <row r="15" spans="1:2">
      <c r="A15">
        <v>14</v>
      </c>
      <c r="B15">
        <v>0.91800000000000004</v>
      </c>
    </row>
    <row r="16" spans="1:2">
      <c r="A16">
        <v>15</v>
      </c>
      <c r="B16">
        <v>1.1100000000000001</v>
      </c>
    </row>
    <row r="17" spans="1:2">
      <c r="A17">
        <v>16</v>
      </c>
      <c r="B17">
        <v>1.2549999999999999</v>
      </c>
    </row>
    <row r="18" spans="1:2">
      <c r="A18">
        <v>17</v>
      </c>
      <c r="B18">
        <v>1.093</v>
      </c>
    </row>
    <row r="19" spans="1:2">
      <c r="A19">
        <v>18</v>
      </c>
      <c r="B19">
        <v>1.43</v>
      </c>
    </row>
    <row r="20" spans="1:2">
      <c r="A20">
        <v>19</v>
      </c>
      <c r="B20">
        <v>1.6140000000000001</v>
      </c>
    </row>
    <row r="21" spans="1:2">
      <c r="A21">
        <v>20</v>
      </c>
      <c r="B21">
        <v>1.8340000000000001</v>
      </c>
    </row>
    <row r="22" spans="1:2">
      <c r="A22">
        <v>21</v>
      </c>
      <c r="B22">
        <v>1.718</v>
      </c>
    </row>
    <row r="23" spans="1:2">
      <c r="A23">
        <v>22</v>
      </c>
      <c r="B23">
        <v>2.028</v>
      </c>
    </row>
    <row r="24" spans="1:2">
      <c r="A24">
        <v>23</v>
      </c>
      <c r="B24">
        <v>2.1840000000000002</v>
      </c>
    </row>
    <row r="25" spans="1:2">
      <c r="A25">
        <v>24</v>
      </c>
      <c r="B25">
        <v>2.3740000000000001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1401-C698-504B-8E68-B588C59A7DC3}">
  <dimension ref="A1:B25"/>
  <sheetViews>
    <sheetView workbookViewId="0">
      <selection activeCell="E34" sqref="E34"/>
    </sheetView>
  </sheetViews>
  <sheetFormatPr baseColWidth="10" defaultRowHeight="16"/>
  <cols>
    <col min="2" max="2" width="37.5" bestFit="1" customWidth="1"/>
  </cols>
  <sheetData>
    <row r="1" spans="1:2">
      <c r="A1" t="s">
        <v>29</v>
      </c>
      <c r="B1" t="s">
        <v>15</v>
      </c>
    </row>
    <row r="2" spans="1:2">
      <c r="A2">
        <v>1</v>
      </c>
      <c r="B2">
        <v>5.8630000000000004</v>
      </c>
    </row>
    <row r="3" spans="1:2">
      <c r="A3">
        <v>2</v>
      </c>
      <c r="B3">
        <v>5.3159999999999998</v>
      </c>
    </row>
    <row r="4" spans="1:2">
      <c r="A4">
        <v>3</v>
      </c>
      <c r="B4">
        <v>5.7899999999999991</v>
      </c>
    </row>
    <row r="5" spans="1:2">
      <c r="A5">
        <v>4</v>
      </c>
      <c r="B5">
        <v>5.9580000000000002</v>
      </c>
    </row>
    <row r="6" spans="1:2">
      <c r="A6">
        <v>5</v>
      </c>
      <c r="B6">
        <v>5.7439999999999998</v>
      </c>
    </row>
    <row r="7" spans="1:2">
      <c r="A7">
        <v>6</v>
      </c>
      <c r="B7">
        <v>6.12</v>
      </c>
    </row>
    <row r="8" spans="1:2">
      <c r="A8">
        <v>7</v>
      </c>
      <c r="B8">
        <v>6.6740000000000004</v>
      </c>
    </row>
    <row r="9" spans="1:2">
      <c r="A9">
        <v>8</v>
      </c>
      <c r="B9">
        <v>6.7459999999999996</v>
      </c>
    </row>
    <row r="10" spans="1:2">
      <c r="A10">
        <v>9</v>
      </c>
      <c r="B10">
        <v>6.141</v>
      </c>
    </row>
    <row r="11" spans="1:2">
      <c r="A11">
        <v>10</v>
      </c>
      <c r="B11">
        <v>7.2069999999999999</v>
      </c>
    </row>
    <row r="12" spans="1:2">
      <c r="A12">
        <v>11</v>
      </c>
      <c r="B12">
        <v>7.6510000000000007</v>
      </c>
    </row>
    <row r="13" spans="1:2">
      <c r="A13">
        <v>12</v>
      </c>
      <c r="B13">
        <v>7.9249999999999989</v>
      </c>
    </row>
    <row r="14" spans="1:2">
      <c r="A14">
        <v>13</v>
      </c>
      <c r="B14">
        <v>5.5869999999999997</v>
      </c>
    </row>
    <row r="15" spans="1:2">
      <c r="A15">
        <v>14</v>
      </c>
      <c r="B15">
        <v>6.8129999999999997</v>
      </c>
    </row>
    <row r="16" spans="1:2">
      <c r="A16">
        <v>15</v>
      </c>
      <c r="B16">
        <v>6.7830000000000004</v>
      </c>
    </row>
    <row r="17" spans="1:2">
      <c r="A17">
        <v>16</v>
      </c>
      <c r="B17">
        <v>6.9530000000000003</v>
      </c>
    </row>
    <row r="18" spans="1:2">
      <c r="A18">
        <v>17</v>
      </c>
      <c r="B18">
        <v>5.3710000000000004</v>
      </c>
    </row>
    <row r="19" spans="1:2">
      <c r="A19">
        <v>18</v>
      </c>
      <c r="B19">
        <v>6.9710000000000001</v>
      </c>
    </row>
    <row r="20" spans="1:2">
      <c r="A20">
        <v>19</v>
      </c>
      <c r="B20">
        <v>7.0460000000000003</v>
      </c>
    </row>
    <row r="21" spans="1:2">
      <c r="A21">
        <v>20</v>
      </c>
      <c r="B21">
        <v>7.2940000000000005</v>
      </c>
    </row>
    <row r="22" spans="1:2">
      <c r="A22">
        <v>21</v>
      </c>
      <c r="B22">
        <v>6.2639999999999993</v>
      </c>
    </row>
    <row r="23" spans="1:2">
      <c r="A23">
        <v>22</v>
      </c>
      <c r="B23">
        <v>7.6310000000000002</v>
      </c>
    </row>
    <row r="24" spans="1:2">
      <c r="A24">
        <v>23</v>
      </c>
      <c r="B24">
        <v>7.8850000000000007</v>
      </c>
    </row>
    <row r="25" spans="1:2">
      <c r="A25">
        <v>24</v>
      </c>
      <c r="B25">
        <v>8.6260000000000012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QtrlyNetRevenues</vt:lpstr>
      <vt:lpstr>Humira</vt:lpstr>
      <vt:lpstr>Skyrizi</vt:lpstr>
      <vt:lpstr>Rinvoq</vt:lpstr>
      <vt:lpstr>Total Immunology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2026-04-28T19:54:13Z</dcterms:created>
  <dcterms:modified xsi:type="dcterms:W3CDTF">2026-04-28T20:28:11Z</dcterms:modified>
</cp:coreProperties>
</file>